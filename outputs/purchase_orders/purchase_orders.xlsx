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sssihms/Documents/Password Manager/outputs/purchase_orders/"/>
    </mc:Choice>
  </mc:AlternateContent>
  <xr:revisionPtr revIDLastSave="0" documentId="13_ncr:1_{8BC763A2-6D6A-B047-8AA0-F910EE432618}" xr6:coauthVersionLast="47" xr6:coauthVersionMax="47" xr10:uidLastSave="{00000000-0000-0000-0000-000000000000}"/>
  <bookViews>
    <workbookView xWindow="0" yWindow="780" windowWidth="36000" windowHeight="20560" xr2:uid="{00000000-000D-0000-FFFF-FFFF00000000}"/>
  </bookViews>
  <sheets>
    <sheet name="Line Items" sheetId="2" r:id="rId1"/>
    <sheet name="PO Summary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" i="2" l="1"/>
  <c r="G26" i="2"/>
  <c r="G25" i="2"/>
  <c r="G24" i="2"/>
  <c r="G23" i="2"/>
  <c r="G22" i="2"/>
  <c r="G21" i="2"/>
  <c r="G20" i="2"/>
  <c r="G27" i="2" s="1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F9" i="1"/>
  <c r="E9" i="1"/>
</calcChain>
</file>

<file path=xl/sharedStrings.xml><?xml version="1.0" encoding="utf-8"?>
<sst xmlns="http://schemas.openxmlformats.org/spreadsheetml/2006/main" count="115" uniqueCount="70">
  <si>
    <t>Purchase Order Summary</t>
  </si>
  <si>
    <t>Purchase Order No.</t>
  </si>
  <si>
    <t>PO Date</t>
  </si>
  <si>
    <t>Vendor</t>
  </si>
  <si>
    <t>Patient Name(s)</t>
  </si>
  <si>
    <t>PO Total (Rs.)</t>
  </si>
  <si>
    <t>No. of Line Items</t>
  </si>
  <si>
    <t>M-PO-P2627-622</t>
  </si>
  <si>
    <t>18-Jun-2026</t>
  </si>
  <si>
    <t>LIFETECH SCIENTIFIC INDIA PVT LIMITED</t>
  </si>
  <si>
    <t>ALIZA BIN</t>
  </si>
  <si>
    <t>M-PO-P2627-612</t>
  </si>
  <si>
    <t>17-Jun-2026</t>
  </si>
  <si>
    <t>SANDHYAKUMARI</t>
  </si>
  <si>
    <t>M-PO-P2627-605</t>
  </si>
  <si>
    <t>16-Jun-2026</t>
  </si>
  <si>
    <t>KRISHNADAS</t>
  </si>
  <si>
    <t>M-PO-P2627-579</t>
  </si>
  <si>
    <t>12-Jun-2026</t>
  </si>
  <si>
    <t>Multiple patients; see Line Items</t>
  </si>
  <si>
    <t>M-PO-P2627-602</t>
  </si>
  <si>
    <t>KARDIO ENDOVAS</t>
  </si>
  <si>
    <t>M-PO-P2627-582</t>
  </si>
  <si>
    <t>MERU VENTURES</t>
  </si>
  <si>
    <t>Not stated on PO</t>
  </si>
  <si>
    <t>Grand Total</t>
  </si>
  <si>
    <t>Patient names are transcribed from the bottom/continuation pages where present. See Line Items for item-level mapping.</t>
  </si>
  <si>
    <t>Purchase Order Line Items</t>
  </si>
  <si>
    <t>Line No.</t>
  </si>
  <si>
    <t>Item</t>
  </si>
  <si>
    <t>Qty</t>
  </si>
  <si>
    <t>Rate (Rs.)</t>
  </si>
  <si>
    <t>Line Amount (Rs.)</t>
  </si>
  <si>
    <t>KONAR MF VSD OCCLUDER 8-6 LT-MFO-8-6</t>
  </si>
  <si>
    <t>STEEREASE SHEATH INTRODUCER 12FR X 80CM SFA12F</t>
  </si>
  <si>
    <t>HEARTR ASD OCCLUDER DEVICE 24MM XJFS24</t>
  </si>
  <si>
    <t>CERA VASCULAR PLUG CABLE 3F LT-VP-3F</t>
  </si>
  <si>
    <t>HEART MUSCULAR VSD OCCLUDER DEVICE 22MM XJFVJ22</t>
  </si>
  <si>
    <t>HEART VSD OCCLUDER 18MM REF XJFVJ18</t>
  </si>
  <si>
    <t>KRISHNADAS R</t>
  </si>
  <si>
    <t>KONAR MF VSD OCCLUDER 5-3 LT-MFO-5-3</t>
  </si>
  <si>
    <t>DILEEPMITHRAN</t>
  </si>
  <si>
    <t>KONAR MF VSD OCCLUDER 6-4 LT-MFO-6-4</t>
  </si>
  <si>
    <t>SUMAN BAGDI (inferred from adjacent patient note)</t>
  </si>
  <si>
    <t>KONAR VSD OCCLUDER DEVICE 7-5 LT-MFO-7-5</t>
  </si>
  <si>
    <t>SAMANVITA; SUSHMITA MONDAL</t>
  </si>
  <si>
    <t>ARUSHI JANA; DILEEPMITHRAN</t>
  </si>
  <si>
    <t>KONAR VSD OCCLUDER DEVICE 9-7 LT-MFO-9-7</t>
  </si>
  <si>
    <t>HARIHARAN; LAGNNA BISOI</t>
  </si>
  <si>
    <t>KONAR VSD OCCLUDER DEVICE 10-8 LT-MFO-10-8</t>
  </si>
  <si>
    <t>DEBAPRIYA SAU; LALAN KUMAR</t>
  </si>
  <si>
    <t>KONAR VSD OCCLUDER DEVICE 12-10 LT-MFO-12-10</t>
  </si>
  <si>
    <t>Explanted - no patient stated</t>
  </si>
  <si>
    <t>KONAR VSD OCCLUDER DEVICE 14-12 LT-MFO-14-12</t>
  </si>
  <si>
    <t>SANTOSHI KARAK</t>
  </si>
  <si>
    <t>HEARTR ASD OCCLUDER DEVICE 18MM XJFS18</t>
  </si>
  <si>
    <t>SREEJA MALIK</t>
  </si>
  <si>
    <t>HEARTR ASD OCCLUDER 20MM XJFS20</t>
  </si>
  <si>
    <t>PRABHAKARAN AP</t>
  </si>
  <si>
    <t>HEARTR ASD OCCLUDER 28MM XJFS28</t>
  </si>
  <si>
    <t>SONU KUMAR</t>
  </si>
  <si>
    <t>DILEEPMITHRAN P; LALAN KUMAR</t>
  </si>
  <si>
    <t>STEEREASE SHEATH INTRODUCER 10FR X 80CM SFA10F</t>
  </si>
  <si>
    <t>KRISHNA DAS</t>
  </si>
  <si>
    <t>BENTLEY BEGRAFT AORTIC STENT GRAFT SYSTEM 7FR REF BGP3710_2</t>
  </si>
  <si>
    <t>COCOON PDA ACCESSORY 7F COP7F</t>
  </si>
  <si>
    <t>COCOON ASD ACCESSORY 12F COA12F</t>
  </si>
  <si>
    <t>COCOON PDA ACCESSORY 8F COP8F</t>
  </si>
  <si>
    <t>Calculated total before tax</t>
  </si>
  <si>
    <t>Calculated total after tax 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</si>
</sst>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6"/>
      <color rgb="FFFFFFFF"/>
      <name val="Carlito"/>
    </font>
    <font>
      <b/>
      <sz val="11"/>
      <color rgb="FF17365D"/>
      <name val="Carlito"/>
    </font>
    <font>
      <b/>
      <sz val="11"/>
      <color rgb="FF274E13"/>
      <name val="Carlito"/>
    </font>
    <font>
      <i/>
      <sz val="11"/>
      <color rgb="FF7F6000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D9EAD3"/>
      </patternFill>
    </fill>
    <fill>
      <patternFill patternType="solid">
        <fgColor rgb="FFFFF2CC"/>
      </patternFill>
    </fill>
  </fills>
  <borders count="4">
    <border>
      <left/>
      <right/>
      <top/>
      <bottom/>
      <diagonal/>
    </border>
    <border>
      <left style="thin">
        <color rgb="FFB4C7E7"/>
      </left>
      <right style="thin">
        <color rgb="FFB4C7E7"/>
      </right>
      <top style="thin">
        <color rgb="FFB4C7E7"/>
      </top>
      <bottom style="thin">
        <color rgb="FFB4C7E7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93C47D"/>
      </left>
      <right style="thin">
        <color rgb="FF93C47D"/>
      </right>
      <top style="thin">
        <color rgb="FF93C47D"/>
      </top>
      <bottom style="thin">
        <color rgb="FF93C47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2" xfId="0" applyBorder="1" applyAlignment="1">
      <alignment vertical="center"/>
    </xf>
    <xf numFmtId="0" fontId="0" fillId="0" borderId="2" xfId="0" applyBorder="1" applyAlignment="1">
      <alignment vertical="center" wrapText="1"/>
    </xf>
    <xf numFmtId="4" fontId="0" fillId="0" borderId="2" xfId="0" applyNumberFormat="1" applyBorder="1" applyAlignment="1">
      <alignment vertical="center"/>
    </xf>
    <xf numFmtId="3" fontId="0" fillId="0" borderId="2" xfId="0" applyNumberFormat="1" applyBorder="1" applyAlignment="1">
      <alignment vertical="center"/>
    </xf>
    <xf numFmtId="4" fontId="3" fillId="4" borderId="3" xfId="0" applyNumberFormat="1" applyFont="1" applyFill="1" applyBorder="1" applyAlignment="1">
      <alignment vertical="center"/>
    </xf>
    <xf numFmtId="3" fontId="3" fillId="4" borderId="3" xfId="0" applyNumberFormat="1" applyFont="1" applyFill="1" applyBorder="1" applyAlignment="1">
      <alignment vertical="center"/>
    </xf>
    <xf numFmtId="0" fontId="0" fillId="0" borderId="2" xfId="0" applyBorder="1" applyAlignment="1">
      <alignment wrapText="1"/>
    </xf>
    <xf numFmtId="3" fontId="0" fillId="0" borderId="2" xfId="0" applyNumberFormat="1" applyBorder="1"/>
    <xf numFmtId="4" fontId="0" fillId="0" borderId="2" xfId="0" applyNumberFormat="1" applyBorder="1"/>
    <xf numFmtId="4" fontId="3" fillId="4" borderId="3" xfId="0" applyNumberFormat="1" applyFont="1" applyFill="1" applyBorder="1"/>
    <xf numFmtId="0" fontId="1" fillId="2" borderId="0" xfId="0" applyFont="1" applyFill="1" applyAlignment="1">
      <alignment horizontal="center" vertical="center"/>
    </xf>
    <xf numFmtId="0" fontId="3" fillId="4" borderId="3" xfId="0" applyFont="1" applyFill="1" applyBorder="1" applyAlignment="1">
      <alignment vertical="center"/>
    </xf>
    <xf numFmtId="0" fontId="4" fillId="5" borderId="0" xfId="0" applyFont="1" applyFill="1" applyAlignment="1">
      <alignment wrapText="1"/>
    </xf>
    <xf numFmtId="0" fontId="3" fillId="4" borderId="3" xfId="0" applyFont="1" applyFill="1" applyBorder="1"/>
    <xf numFmtId="4" fontId="3" fillId="4" borderId="3" xfId="0" applyNumberFormat="1" applyFont="1" applyFill="1" applyBorder="1"/>
    <xf numFmtId="4" fontId="0" fillId="0" borderId="0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9"/>
  <sheetViews>
    <sheetView showGridLines="0" tabSelected="1" workbookViewId="0">
      <selection activeCell="A29" sqref="A29:G29"/>
    </sheetView>
  </sheetViews>
  <sheetFormatPr baseColWidth="10" defaultColWidth="8.83203125" defaultRowHeight="14"/>
  <cols>
    <col min="1" max="1" width="22" customWidth="1"/>
    <col min="2" max="2" width="10" customWidth="1"/>
    <col min="3" max="3" width="54" customWidth="1"/>
    <col min="4" max="4" width="9" customWidth="1"/>
    <col min="5" max="5" width="14" customWidth="1"/>
    <col min="6" max="6" width="42" customWidth="1"/>
    <col min="7" max="7" width="17" customWidth="1"/>
  </cols>
  <sheetData>
    <row r="1" spans="1:7" ht="28" customHeight="1">
      <c r="A1" s="14" t="s">
        <v>27</v>
      </c>
      <c r="B1" s="14"/>
      <c r="C1" s="14"/>
      <c r="D1" s="14"/>
      <c r="E1" s="14"/>
      <c r="F1" s="14"/>
      <c r="G1" s="14"/>
    </row>
    <row r="2" spans="1:7" ht="27" customHeight="1">
      <c r="A2" s="2" t="s">
        <v>1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4</v>
      </c>
      <c r="G2" s="2" t="s">
        <v>32</v>
      </c>
    </row>
    <row r="3" spans="1:7" ht="15">
      <c r="A3" s="3" t="s">
        <v>7</v>
      </c>
      <c r="B3" s="3">
        <v>1</v>
      </c>
      <c r="C3" s="10" t="s">
        <v>33</v>
      </c>
      <c r="D3" s="11">
        <v>1</v>
      </c>
      <c r="E3" s="12">
        <v>45000</v>
      </c>
      <c r="F3" s="10" t="s">
        <v>10</v>
      </c>
      <c r="G3" s="12">
        <f t="shared" ref="G3:G26" si="0">D3*E3</f>
        <v>45000</v>
      </c>
    </row>
    <row r="4" spans="1:7" ht="15">
      <c r="A4" s="3" t="s">
        <v>11</v>
      </c>
      <c r="B4" s="3">
        <v>1</v>
      </c>
      <c r="C4" s="10" t="s">
        <v>34</v>
      </c>
      <c r="D4" s="11">
        <v>1</v>
      </c>
      <c r="E4" s="12">
        <v>16800</v>
      </c>
      <c r="F4" s="10" t="s">
        <v>13</v>
      </c>
      <c r="G4" s="12">
        <f t="shared" si="0"/>
        <v>16800</v>
      </c>
    </row>
    <row r="5" spans="1:7" ht="15">
      <c r="A5" s="3" t="s">
        <v>11</v>
      </c>
      <c r="B5" s="3">
        <v>2</v>
      </c>
      <c r="C5" s="10" t="s">
        <v>35</v>
      </c>
      <c r="D5" s="11">
        <v>1</v>
      </c>
      <c r="E5" s="12">
        <v>40000</v>
      </c>
      <c r="F5" s="10" t="s">
        <v>13</v>
      </c>
      <c r="G5" s="12">
        <f t="shared" si="0"/>
        <v>40000</v>
      </c>
    </row>
    <row r="6" spans="1:7" ht="15">
      <c r="A6" s="3" t="s">
        <v>14</v>
      </c>
      <c r="B6" s="3">
        <v>1</v>
      </c>
      <c r="C6" s="10" t="s">
        <v>36</v>
      </c>
      <c r="D6" s="11">
        <v>1</v>
      </c>
      <c r="E6" s="12">
        <v>4000</v>
      </c>
      <c r="F6" s="10" t="s">
        <v>16</v>
      </c>
      <c r="G6" s="12">
        <f t="shared" si="0"/>
        <v>4000</v>
      </c>
    </row>
    <row r="7" spans="1:7" ht="15">
      <c r="A7" s="3" t="s">
        <v>14</v>
      </c>
      <c r="B7" s="3">
        <v>2</v>
      </c>
      <c r="C7" s="10" t="s">
        <v>34</v>
      </c>
      <c r="D7" s="11">
        <v>1</v>
      </c>
      <c r="E7" s="12">
        <v>16800</v>
      </c>
      <c r="F7" s="10" t="s">
        <v>16</v>
      </c>
      <c r="G7" s="12">
        <f t="shared" si="0"/>
        <v>16800</v>
      </c>
    </row>
    <row r="8" spans="1:7" ht="30">
      <c r="A8" s="3" t="s">
        <v>14</v>
      </c>
      <c r="B8" s="3">
        <v>3</v>
      </c>
      <c r="C8" s="10" t="s">
        <v>37</v>
      </c>
      <c r="D8" s="11">
        <v>1</v>
      </c>
      <c r="E8" s="12">
        <v>47475</v>
      </c>
      <c r="F8" s="10" t="s">
        <v>16</v>
      </c>
      <c r="G8" s="12">
        <f t="shared" si="0"/>
        <v>47475</v>
      </c>
    </row>
    <row r="9" spans="1:7" ht="15">
      <c r="A9" s="3" t="s">
        <v>17</v>
      </c>
      <c r="B9" s="3">
        <v>1</v>
      </c>
      <c r="C9" s="10" t="s">
        <v>38</v>
      </c>
      <c r="D9" s="11">
        <v>1</v>
      </c>
      <c r="E9" s="12">
        <v>47250</v>
      </c>
      <c r="F9" s="10" t="s">
        <v>39</v>
      </c>
      <c r="G9" s="12">
        <f t="shared" si="0"/>
        <v>47250</v>
      </c>
    </row>
    <row r="10" spans="1:7" ht="15">
      <c r="A10" s="3" t="s">
        <v>17</v>
      </c>
      <c r="B10" s="3">
        <v>2</v>
      </c>
      <c r="C10" s="10" t="s">
        <v>40</v>
      </c>
      <c r="D10" s="11">
        <v>1</v>
      </c>
      <c r="E10" s="12">
        <v>45000</v>
      </c>
      <c r="F10" s="10" t="s">
        <v>41</v>
      </c>
      <c r="G10" s="12">
        <f t="shared" si="0"/>
        <v>45000</v>
      </c>
    </row>
    <row r="11" spans="1:7" ht="30">
      <c r="A11" s="3" t="s">
        <v>17</v>
      </c>
      <c r="B11" s="3">
        <v>3</v>
      </c>
      <c r="C11" s="10" t="s">
        <v>42</v>
      </c>
      <c r="D11" s="11">
        <v>1</v>
      </c>
      <c r="E11" s="12">
        <v>45000</v>
      </c>
      <c r="F11" s="10" t="s">
        <v>43</v>
      </c>
      <c r="G11" s="12">
        <f t="shared" si="0"/>
        <v>45000</v>
      </c>
    </row>
    <row r="12" spans="1:7" ht="15">
      <c r="A12" s="3" t="s">
        <v>17</v>
      </c>
      <c r="B12" s="3">
        <v>4</v>
      </c>
      <c r="C12" s="10" t="s">
        <v>44</v>
      </c>
      <c r="D12" s="11">
        <v>2</v>
      </c>
      <c r="E12" s="12">
        <v>45000</v>
      </c>
      <c r="F12" s="10" t="s">
        <v>45</v>
      </c>
      <c r="G12" s="12">
        <f t="shared" si="0"/>
        <v>90000</v>
      </c>
    </row>
    <row r="13" spans="1:7" ht="15">
      <c r="A13" s="3" t="s">
        <v>17</v>
      </c>
      <c r="B13" s="3">
        <v>5</v>
      </c>
      <c r="C13" s="10" t="s">
        <v>33</v>
      </c>
      <c r="D13" s="11">
        <v>2</v>
      </c>
      <c r="E13" s="12">
        <v>45000</v>
      </c>
      <c r="F13" s="10" t="s">
        <v>46</v>
      </c>
      <c r="G13" s="12">
        <f t="shared" si="0"/>
        <v>90000</v>
      </c>
    </row>
    <row r="14" spans="1:7" ht="15">
      <c r="A14" s="3" t="s">
        <v>17</v>
      </c>
      <c r="B14" s="3">
        <v>6</v>
      </c>
      <c r="C14" s="10" t="s">
        <v>47</v>
      </c>
      <c r="D14" s="11">
        <v>2</v>
      </c>
      <c r="E14" s="12">
        <v>45000</v>
      </c>
      <c r="F14" s="10" t="s">
        <v>48</v>
      </c>
      <c r="G14" s="12">
        <f t="shared" si="0"/>
        <v>90000</v>
      </c>
    </row>
    <row r="15" spans="1:7" ht="15">
      <c r="A15" s="3" t="s">
        <v>17</v>
      </c>
      <c r="B15" s="3">
        <v>7</v>
      </c>
      <c r="C15" s="10" t="s">
        <v>49</v>
      </c>
      <c r="D15" s="11">
        <v>2</v>
      </c>
      <c r="E15" s="12">
        <v>45000</v>
      </c>
      <c r="F15" s="10" t="s">
        <v>50</v>
      </c>
      <c r="G15" s="12">
        <f t="shared" si="0"/>
        <v>90000</v>
      </c>
    </row>
    <row r="16" spans="1:7" ht="15">
      <c r="A16" s="3" t="s">
        <v>17</v>
      </c>
      <c r="B16" s="3">
        <v>8</v>
      </c>
      <c r="C16" s="10" t="s">
        <v>51</v>
      </c>
      <c r="D16" s="11">
        <v>1</v>
      </c>
      <c r="E16" s="12">
        <v>45000</v>
      </c>
      <c r="F16" s="10" t="s">
        <v>52</v>
      </c>
      <c r="G16" s="12">
        <f t="shared" si="0"/>
        <v>45000</v>
      </c>
    </row>
    <row r="17" spans="1:7" ht="15">
      <c r="A17" s="3" t="s">
        <v>17</v>
      </c>
      <c r="B17" s="3">
        <v>9</v>
      </c>
      <c r="C17" s="10" t="s">
        <v>53</v>
      </c>
      <c r="D17" s="11">
        <v>1</v>
      </c>
      <c r="E17" s="12">
        <v>45000</v>
      </c>
      <c r="F17" s="10" t="s">
        <v>54</v>
      </c>
      <c r="G17" s="12">
        <f t="shared" si="0"/>
        <v>45000</v>
      </c>
    </row>
    <row r="18" spans="1:7" ht="15">
      <c r="A18" s="3" t="s">
        <v>17</v>
      </c>
      <c r="B18" s="3">
        <v>10</v>
      </c>
      <c r="C18" s="10" t="s">
        <v>55</v>
      </c>
      <c r="D18" s="11">
        <v>1</v>
      </c>
      <c r="E18" s="12">
        <v>40000</v>
      </c>
      <c r="F18" s="10" t="s">
        <v>56</v>
      </c>
      <c r="G18" s="12">
        <f t="shared" si="0"/>
        <v>40000</v>
      </c>
    </row>
    <row r="19" spans="1:7" ht="15">
      <c r="A19" s="3" t="s">
        <v>17</v>
      </c>
      <c r="B19" s="3">
        <v>11</v>
      </c>
      <c r="C19" s="10" t="s">
        <v>57</v>
      </c>
      <c r="D19" s="11">
        <v>1</v>
      </c>
      <c r="E19" s="12">
        <v>40000</v>
      </c>
      <c r="F19" s="10" t="s">
        <v>58</v>
      </c>
      <c r="G19" s="12">
        <f t="shared" si="0"/>
        <v>40000</v>
      </c>
    </row>
    <row r="20" spans="1:7" ht="15">
      <c r="A20" s="3" t="s">
        <v>17</v>
      </c>
      <c r="B20" s="3">
        <v>12</v>
      </c>
      <c r="C20" s="10" t="s">
        <v>59</v>
      </c>
      <c r="D20" s="11">
        <v>1</v>
      </c>
      <c r="E20" s="12">
        <v>40000</v>
      </c>
      <c r="F20" s="10" t="s">
        <v>60</v>
      </c>
      <c r="G20" s="12">
        <f t="shared" si="0"/>
        <v>40000</v>
      </c>
    </row>
    <row r="21" spans="1:7" ht="15">
      <c r="A21" s="3" t="s">
        <v>17</v>
      </c>
      <c r="B21" s="3">
        <v>13</v>
      </c>
      <c r="C21" s="10" t="s">
        <v>36</v>
      </c>
      <c r="D21" s="11">
        <v>2</v>
      </c>
      <c r="E21" s="12">
        <v>4000</v>
      </c>
      <c r="F21" s="10" t="s">
        <v>61</v>
      </c>
      <c r="G21" s="12">
        <f t="shared" si="0"/>
        <v>8000</v>
      </c>
    </row>
    <row r="22" spans="1:7" ht="15">
      <c r="A22" s="3" t="s">
        <v>17</v>
      </c>
      <c r="B22" s="3">
        <v>14</v>
      </c>
      <c r="C22" s="10" t="s">
        <v>62</v>
      </c>
      <c r="D22" s="11">
        <v>1</v>
      </c>
      <c r="E22" s="12">
        <v>16800</v>
      </c>
      <c r="F22" s="10" t="s">
        <v>63</v>
      </c>
      <c r="G22" s="12">
        <f t="shared" si="0"/>
        <v>16800</v>
      </c>
    </row>
    <row r="23" spans="1:7" ht="30">
      <c r="A23" s="3" t="s">
        <v>20</v>
      </c>
      <c r="B23" s="3">
        <v>1</v>
      </c>
      <c r="C23" s="10" t="s">
        <v>64</v>
      </c>
      <c r="D23" s="11">
        <v>1</v>
      </c>
      <c r="E23" s="12">
        <v>145000</v>
      </c>
      <c r="F23" s="10" t="s">
        <v>16</v>
      </c>
      <c r="G23" s="12">
        <f t="shared" si="0"/>
        <v>145000</v>
      </c>
    </row>
    <row r="24" spans="1:7" ht="15">
      <c r="A24" s="3" t="s">
        <v>22</v>
      </c>
      <c r="B24" s="3">
        <v>1</v>
      </c>
      <c r="C24" s="10" t="s">
        <v>65</v>
      </c>
      <c r="D24" s="11">
        <v>2</v>
      </c>
      <c r="E24" s="12">
        <v>12275.56</v>
      </c>
      <c r="F24" s="10" t="s">
        <v>24</v>
      </c>
      <c r="G24" s="12">
        <f t="shared" si="0"/>
        <v>24551.119999999999</v>
      </c>
    </row>
    <row r="25" spans="1:7" ht="15">
      <c r="A25" s="3" t="s">
        <v>22</v>
      </c>
      <c r="B25" s="3">
        <v>2</v>
      </c>
      <c r="C25" s="10" t="s">
        <v>66</v>
      </c>
      <c r="D25" s="11">
        <v>1</v>
      </c>
      <c r="E25" s="12">
        <v>12275.56</v>
      </c>
      <c r="F25" s="10" t="s">
        <v>24</v>
      </c>
      <c r="G25" s="12">
        <f t="shared" si="0"/>
        <v>12275.56</v>
      </c>
    </row>
    <row r="26" spans="1:7" ht="15">
      <c r="A26" s="3" t="s">
        <v>22</v>
      </c>
      <c r="B26" s="3">
        <v>3</v>
      </c>
      <c r="C26" s="10" t="s">
        <v>67</v>
      </c>
      <c r="D26" s="11">
        <v>1</v>
      </c>
      <c r="E26" s="12">
        <v>12275.56</v>
      </c>
      <c r="F26" s="10" t="s">
        <v>24</v>
      </c>
      <c r="G26" s="12">
        <f t="shared" si="0"/>
        <v>12275.56</v>
      </c>
    </row>
    <row r="27" spans="1:7" ht="15">
      <c r="A27" s="17" t="s">
        <v>68</v>
      </c>
      <c r="B27" s="17"/>
      <c r="C27" s="17"/>
      <c r="D27" s="17"/>
      <c r="E27" s="18"/>
      <c r="F27" s="17"/>
      <c r="G27" s="13">
        <f>SUM(G3:G26)</f>
        <v>1096227.2400000002</v>
      </c>
    </row>
    <row r="28" spans="1:7" ht="15">
      <c r="A28" s="17" t="s">
        <v>69</v>
      </c>
      <c r="B28" s="17"/>
      <c r="C28" s="17"/>
      <c r="D28" s="17"/>
      <c r="E28" s="18"/>
      <c r="F28" s="17"/>
      <c r="G28" s="19">
        <f>G27*1.05</f>
        <v>1151038.6020000002</v>
      </c>
    </row>
    <row r="29" spans="1:7" ht="30" customHeight="1">
      <c r="A29" s="16"/>
      <c r="B29" s="16"/>
      <c r="C29" s="16"/>
      <c r="D29" s="16"/>
      <c r="E29" s="16"/>
      <c r="F29" s="16"/>
      <c r="G29" s="16"/>
    </row>
  </sheetData>
  <mergeCells count="4">
    <mergeCell ref="A1:G1"/>
    <mergeCell ref="A27:F27"/>
    <mergeCell ref="A29:G29"/>
    <mergeCell ref="A28:F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showGridLines="0" workbookViewId="0">
      <selection sqref="A1:F1"/>
    </sheetView>
  </sheetViews>
  <sheetFormatPr baseColWidth="10" defaultColWidth="8.83203125" defaultRowHeight="14"/>
  <cols>
    <col min="1" max="1" width="22" customWidth="1"/>
    <col min="2" max="2" width="14" customWidth="1"/>
    <col min="3" max="4" width="38" customWidth="1"/>
    <col min="5" max="5" width="16" customWidth="1"/>
    <col min="6" max="6" width="17" customWidth="1"/>
  </cols>
  <sheetData>
    <row r="1" spans="1:7" ht="28" customHeight="1">
      <c r="A1" s="14" t="s">
        <v>0</v>
      </c>
      <c r="B1" s="14"/>
      <c r="C1" s="14"/>
      <c r="D1" s="14"/>
      <c r="E1" s="14"/>
      <c r="F1" s="14"/>
      <c r="G1" s="1"/>
    </row>
    <row r="2" spans="1:7" ht="27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/>
    </row>
    <row r="3" spans="1:7" ht="15">
      <c r="A3" s="4" t="s">
        <v>7</v>
      </c>
      <c r="B3" s="4" t="s">
        <v>8</v>
      </c>
      <c r="C3" s="4" t="s">
        <v>9</v>
      </c>
      <c r="D3" s="5" t="s">
        <v>10</v>
      </c>
      <c r="E3" s="6">
        <v>47250</v>
      </c>
      <c r="F3" s="7">
        <v>1</v>
      </c>
    </row>
    <row r="4" spans="1:7" ht="15">
      <c r="A4" s="4" t="s">
        <v>11</v>
      </c>
      <c r="B4" s="4" t="s">
        <v>12</v>
      </c>
      <c r="C4" s="4" t="s">
        <v>9</v>
      </c>
      <c r="D4" s="5" t="s">
        <v>13</v>
      </c>
      <c r="E4" s="6">
        <v>59640</v>
      </c>
      <c r="F4" s="7">
        <v>2</v>
      </c>
    </row>
    <row r="5" spans="1:7" ht="15">
      <c r="A5" s="4" t="s">
        <v>14</v>
      </c>
      <c r="B5" s="4" t="s">
        <v>15</v>
      </c>
      <c r="C5" s="4" t="s">
        <v>9</v>
      </c>
      <c r="D5" s="5" t="s">
        <v>16</v>
      </c>
      <c r="E5" s="6">
        <v>71688.759999999995</v>
      </c>
      <c r="F5" s="7">
        <v>3</v>
      </c>
    </row>
    <row r="6" spans="1:7" ht="15">
      <c r="A6" s="4" t="s">
        <v>17</v>
      </c>
      <c r="B6" s="4" t="s">
        <v>18</v>
      </c>
      <c r="C6" s="4" t="s">
        <v>9</v>
      </c>
      <c r="D6" s="5" t="s">
        <v>19</v>
      </c>
      <c r="E6" s="6">
        <v>768652.5</v>
      </c>
      <c r="F6" s="7">
        <v>14</v>
      </c>
    </row>
    <row r="7" spans="1:7" ht="15">
      <c r="A7" s="4" t="s">
        <v>20</v>
      </c>
      <c r="B7" s="4" t="s">
        <v>15</v>
      </c>
      <c r="C7" s="4" t="s">
        <v>21</v>
      </c>
      <c r="D7" s="5" t="s">
        <v>16</v>
      </c>
      <c r="E7" s="6">
        <v>152250</v>
      </c>
      <c r="F7" s="7">
        <v>1</v>
      </c>
    </row>
    <row r="8" spans="1:7" ht="15">
      <c r="A8" s="4" t="s">
        <v>22</v>
      </c>
      <c r="B8" s="4" t="s">
        <v>18</v>
      </c>
      <c r="C8" s="4" t="s">
        <v>23</v>
      </c>
      <c r="D8" s="5" t="s">
        <v>24</v>
      </c>
      <c r="E8" s="6">
        <v>51557.36</v>
      </c>
      <c r="F8" s="7">
        <v>3</v>
      </c>
    </row>
    <row r="9" spans="1:7" ht="15">
      <c r="A9" s="15" t="s">
        <v>25</v>
      </c>
      <c r="B9" s="15"/>
      <c r="C9" s="15"/>
      <c r="D9" s="15"/>
      <c r="E9" s="8">
        <f>SUM(E3:E8)</f>
        <v>1151038.6200000001</v>
      </c>
      <c r="F9" s="9">
        <f>SUM(F3:F8)</f>
        <v>24</v>
      </c>
    </row>
    <row r="11" spans="1:7" ht="28" customHeight="1">
      <c r="A11" s="16" t="s">
        <v>26</v>
      </c>
      <c r="B11" s="16"/>
      <c r="C11" s="16"/>
      <c r="D11" s="16"/>
      <c r="E11" s="16"/>
      <c r="F11" s="16"/>
    </row>
  </sheetData>
  <mergeCells count="3">
    <mergeCell ref="A1:F1"/>
    <mergeCell ref="A9:D9"/>
    <mergeCell ref="A11:F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 Items</vt:lpstr>
      <vt:lpstr>PO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Sundaresh Dabir</cp:lastModifiedBy>
  <dcterms:modified xsi:type="dcterms:W3CDTF">2026-07-16T05:08:02Z</dcterms:modified>
</cp:coreProperties>
</file>